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083C6F3-7EC0-4134-B51E-586DC03E5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Tasks" sheetId="2" r:id="rId2"/>
  </sheets>
  <calcPr calcId="18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25" i="2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D29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H13" i="2"/>
  <c r="H8" i="2"/>
  <c r="C16" i="2"/>
  <c r="C12" i="2"/>
  <c r="C8" i="2"/>
</calcChain>
</file>

<file path=xl/sharedStrings.xml><?xml version="1.0" encoding="utf-8"?>
<sst xmlns="http://schemas.openxmlformats.org/spreadsheetml/2006/main" count="166" uniqueCount="111">
  <si>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</si>
  <si>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</si>
  <si>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</si>
  <si>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</si>
  <si>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</si>
  <si>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</si>
  <si>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</si>
  <si>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</si>
  <si>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</si>
  <si>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</si>
  <si>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</si>
  <si>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</si>
  <si>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</si>
  <si>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</si>
  <si>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</si>
  <si>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</si>
  <si>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</si>
  <si>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</si>
  <si>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</si>
  <si>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</si>
  <si>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</si>
  <si>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</si>
  <si>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</si>
  <si>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</si>
  <si>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</si>
  <si>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</si>
  <si>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</si>
  <si>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</si>
  <si>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</si>
  <si>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</si>
  <si>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</si>
  <si>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</si>
  <si>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</si>
  <si>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</si>
  <si>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</si>
  <si>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</si>
  <si>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</si>
  <si>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</si>
  <si>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</si>
  <si>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</si>
  <si>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</si>
  <si>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</si>
  <si>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</si>
  <si>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</si>
  <si>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</si>
  <si>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</si>
  <si>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</si>
  <si>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</si>
  <si>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</si>
  <si>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</si>
  <si>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</si>
  <si>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</si>
  <si>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</si>
  <si>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</si>
  <si>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</si>
  <si>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</si>
  <si>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</si>
  <si>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</si>
  <si>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</si>
  <si>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</si>
  <si>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</si>
  <si>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</si>
  <si>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</si>
  <si>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</si>
  <si>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</si>
  <si>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</si>
  <si>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</si>
  <si>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</si>
  <si>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</si>
  <si>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</si>
  <si>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</si>
  <si>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</si>
  <si>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</si>
  <si>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</si>
  <si>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</si>
  <si>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</si>
  <si>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</si>
  <si>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</si>
  <si>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</si>
  <si>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</si>
  <si>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</si>
  <si>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</si>
  <si>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</si>
  <si>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</si>
  <si>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</si>
  <si>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</si>
  <si>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</si>
  <si>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</si>
  <si>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</si>
  <si>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</si>
  <si>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</si>
  <si>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</si>
  <si>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</si>
  <si>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Sum, Count, and Average</t>
  </si>
  <si>
    <t>Task 1</t>
  </si>
  <si>
    <t>Calculate the total price of all products in the dataset.</t>
  </si>
  <si>
    <t>Answer</t>
  </si>
  <si>
    <t>Determine how many products exist in the dataset.</t>
  </si>
  <si>
    <t>Calculate the average price of the products.</t>
  </si>
  <si>
    <t>Task 2</t>
  </si>
  <si>
    <t>Minimum and Maximum Values</t>
  </si>
  <si>
    <t>Identify the minimum price among all products. ●</t>
  </si>
  <si>
    <t xml:space="preserve"> Identify the maximum price among all products.</t>
  </si>
  <si>
    <t>Price Range</t>
  </si>
  <si>
    <t>Task 4</t>
  </si>
  <si>
    <t>Conditional Functions – SUMIF and COUNTIF</t>
  </si>
  <si>
    <t>Use the SUMIF function to calculate the total price of products in the Electronics category.</t>
  </si>
  <si>
    <t>Use the COUNTIF function to determine the number of products with a price less than $100.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</si>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</sst>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3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rgb="FF4DD0E1"/>
      </patternFill>
    </fill>
    <fill>
      <patternFill patternType="solid">
        <fgColor theme="4"/>
        <bgColor rgb="FF4DD0E1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6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6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7" fillId="12" borderId="0" xfId="0" applyFont="1" applyFill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619E7-F06E-48B3-832C-5C31B5F45BBB}" name="Product_details" displayName="Product_details" ref="A1:J35" totalsRowShown="0" headerRowDxfId="11" dataDxfId="10">
  <tableColumns count="10">
    <tableColumn id="1" xr3:uid="{47B9149B-8F07-41D5-A66B-2A115EA7CDC5}" name="Product ID" dataDxfId="9"/>
    <tableColumn id="2" xr3:uid="{66785BB8-E4BA-4EE3-BCE6-7D3D8C3CDDB5}" name="Product Name" dataDxfId="8"/>
    <tableColumn id="3" xr3:uid="{9B1D3E0B-7BC4-41B2-8515-3D55D507F093}" name="Brand Name" dataDxfId="7"/>
    <tableColumn id="4" xr3:uid="{BFB0BEEC-6184-40A3-B624-17475C55A67D}" name="Price ($)" dataDxfId="6"/>
    <tableColumn id="5" xr3:uid="{E3F94AF4-BF1F-45EC-B603-DE91245EA674}" name="Quantity" dataDxfId="5"/>
    <tableColumn id="6" xr3:uid="{14E6270E-6C73-44FE-AC02-E8B1B8B7A929}" name="Category" dataDxfId="4"/>
    <tableColumn id="7" xr3:uid="{5F9A3DA3-5D6D-4082-ABC8-BD307E0A2CD5}" name="Price Range" dataDxfId="3">
      <calculatedColumnFormula>IF(Product_details[[#This Row],[Price ($)]]&gt;=500,"High Price","Standard Price")</calculatedColumnFormula>
    </tableColumn>
    <tableColumn id="8" xr3:uid="{E7FF87D4-250B-4D03-925B-FE33905EFD7B}" name="Day" dataDxfId="2">
      <calculatedColumnFormula>LEFT(Product_details[[#This Row],[Product ID]],2)</calculatedColumnFormula>
    </tableColumn>
    <tableColumn id="9" xr3:uid="{A94C7A67-ED8B-4D07-9B97-A5FF3062A2B6}" name="Country code" dataDxfId="1">
      <calculatedColumnFormula>RIGHT(Product_details[[#This Row],[Product ID]],2)</calculatedColumnFormula>
    </tableColumn>
    <tableColumn id="10" xr3:uid="{683B2ABE-2CFF-453F-9356-11D73969076D}" name="month" dataDxfId="0">
      <calculatedColumnFormula>MID(Product_details[[#This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G2" sqref="G2:G35"/>
    </sheetView>
  </sheetViews>
  <sheetFormatPr defaultColWidth="12.6328125" defaultRowHeight="15" customHeight="1" x14ac:dyDescent="0.25"/>
  <cols>
    <col min="2" max="2" width="15" customWidth="1"/>
    <col min="3" max="3" width="13.363281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103</v>
      </c>
      <c r="H1" s="6" t="s">
        <v>108</v>
      </c>
      <c r="I1" s="7" t="s">
        <v>109</v>
      </c>
      <c r="J1" s="1" t="s">
        <v>110</v>
      </c>
    </row>
    <row r="2" spans="1:10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4" t="str">
        <f>IF(Product_details[[#This Row],[Price ($)]]&gt;=500,"High Price","Standard Price")</f>
        <v>High Price</v>
      </c>
      <c r="H2" s="3" t="str">
        <f>LEFT(Product_details[[#This Row],[Product ID]],2)</f>
        <v>28</v>
      </c>
      <c r="I2" s="3" t="str">
        <f>RIGHT(Product_details[[#This Row],[Product ID]],2)</f>
        <v>US</v>
      </c>
      <c r="J2" s="3" t="str">
        <f>MID(Product_details[[#This Row],[Product ID]],4,3)</f>
        <v>JAN</v>
      </c>
    </row>
    <row r="3" spans="1:10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4" t="str">
        <f>IF(Product_details[[#This Row],[Price ($)]]&gt;=500,"High Price","Standard Price")</f>
        <v>Standard Price</v>
      </c>
      <c r="H3" s="3" t="str">
        <f>LEFT(Product_details[[#This Row],[Product ID]],2)</f>
        <v>15</v>
      </c>
      <c r="I3" s="3" t="str">
        <f>RIGHT(Product_details[[#This Row],[Product ID]],2)</f>
        <v>US</v>
      </c>
      <c r="J3" s="3" t="str">
        <f>MID(Product_details[[#This Row],[Product ID]],4,3)</f>
        <v>FEB</v>
      </c>
    </row>
    <row r="4" spans="1:10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4" t="str">
        <f>IF(Product_details[[#This Row],[Price ($)]]&gt;=500,"High Price","Standard Price")</f>
        <v>Standard Price</v>
      </c>
      <c r="H4" s="3" t="str">
        <f>LEFT(Product_details[[#This Row],[Product ID]],2)</f>
        <v>03</v>
      </c>
      <c r="I4" s="3" t="str">
        <f>RIGHT(Product_details[[#This Row],[Product ID]],2)</f>
        <v>US</v>
      </c>
      <c r="J4" s="3" t="str">
        <f>MID(Product_details[[#This Row],[Product ID]],4,3)</f>
        <v>MAR</v>
      </c>
    </row>
    <row r="5" spans="1:10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4" t="str">
        <f>IF(Product_details[[#This Row],[Price ($)]]&gt;=500,"High Price","Standard Price")</f>
        <v>High Price</v>
      </c>
      <c r="H5" s="3" t="str">
        <f>LEFT(Product_details[[#This Row],[Product ID]],2)</f>
        <v>11</v>
      </c>
      <c r="I5" s="3" t="str">
        <f>RIGHT(Product_details[[#This Row],[Product ID]],2)</f>
        <v>US</v>
      </c>
      <c r="J5" s="3" t="str">
        <f>MID(Product_details[[#This Row],[Product ID]],4,3)</f>
        <v>APR</v>
      </c>
    </row>
    <row r="6" spans="1:10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4" t="str">
        <f>IF(Product_details[[#This Row],[Price ($)]]&gt;=500,"High Price","Standard Price")</f>
        <v>Standard Price</v>
      </c>
      <c r="H6" s="3" t="str">
        <f>LEFT(Product_details[[#This Row],[Product ID]],2)</f>
        <v>22</v>
      </c>
      <c r="I6" s="3" t="str">
        <f>RIGHT(Product_details[[#This Row],[Product ID]],2)</f>
        <v>US</v>
      </c>
      <c r="J6" s="3" t="str">
        <f>MID(Product_details[[#This Row],[Product ID]],4,3)</f>
        <v>MAY</v>
      </c>
    </row>
    <row r="7" spans="1:10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4" t="str">
        <f>IF(Product_details[[#This Row],[Price ($)]]&gt;=500,"High Price","Standard Price")</f>
        <v>Standard Price</v>
      </c>
      <c r="H7" s="3" t="str">
        <f>LEFT(Product_details[[#This Row],[Product ID]],2)</f>
        <v>07</v>
      </c>
      <c r="I7" s="3" t="str">
        <f>RIGHT(Product_details[[#This Row],[Product ID]],2)</f>
        <v>UK</v>
      </c>
      <c r="J7" s="3" t="str">
        <f>MID(Product_details[[#This Row],[Product ID]],4,3)</f>
        <v>JUN</v>
      </c>
    </row>
    <row r="8" spans="1:10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4" t="str">
        <f>IF(Product_details[[#This Row],[Price ($)]]&gt;=500,"High Price","Standard Price")</f>
        <v>Standard Price</v>
      </c>
      <c r="H8" s="3" t="str">
        <f>LEFT(Product_details[[#This Row],[Product ID]],2)</f>
        <v>19</v>
      </c>
      <c r="I8" s="3" t="str">
        <f>RIGHT(Product_details[[#This Row],[Product ID]],2)</f>
        <v>UK</v>
      </c>
      <c r="J8" s="3" t="str">
        <f>MID(Product_details[[#This Row],[Product ID]],4,3)</f>
        <v>JUL</v>
      </c>
    </row>
    <row r="9" spans="1:10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4" t="str">
        <f>IF(Product_details[[#This Row],[Price ($)]]&gt;=500,"High Price","Standard Price")</f>
        <v>Standard Price</v>
      </c>
      <c r="H9" s="3" t="str">
        <f>LEFT(Product_details[[#This Row],[Product ID]],2)</f>
        <v>23</v>
      </c>
      <c r="I9" s="3" t="str">
        <f>RIGHT(Product_details[[#This Row],[Product ID]],2)</f>
        <v>UK</v>
      </c>
      <c r="J9" s="3" t="str">
        <f>MID(Product_details[[#This Row],[Product ID]],4,3)</f>
        <v>AUG</v>
      </c>
    </row>
    <row r="10" spans="1:10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4" t="str">
        <f>IF(Product_details[[#This Row],[Price ($)]]&gt;=500,"High Price","Standard Price")</f>
        <v>High Price</v>
      </c>
      <c r="H10" s="3" t="str">
        <f>LEFT(Product_details[[#This Row],[Product ID]],2)</f>
        <v>05</v>
      </c>
      <c r="I10" s="3" t="str">
        <f>RIGHT(Product_details[[#This Row],[Product ID]],2)</f>
        <v>UK</v>
      </c>
      <c r="J10" s="3" t="str">
        <f>MID(Product_details[[#This Row],[Product ID]],4,3)</f>
        <v>SEP</v>
      </c>
    </row>
    <row r="11" spans="1:10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4" t="str">
        <f>IF(Product_details[[#This Row],[Price ($)]]&gt;=500,"High Price","Standard Price")</f>
        <v>Standard Price</v>
      </c>
      <c r="H11" s="3" t="str">
        <f>LEFT(Product_details[[#This Row],[Product ID]],2)</f>
        <v>14</v>
      </c>
      <c r="I11" s="3" t="str">
        <f>RIGHT(Product_details[[#This Row],[Product ID]],2)</f>
        <v>UK</v>
      </c>
      <c r="J11" s="3" t="str">
        <f>MID(Product_details[[#This Row],[Product ID]],4,3)</f>
        <v>OCT</v>
      </c>
    </row>
    <row r="12" spans="1:10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4" t="str">
        <f>IF(Product_details[[#This Row],[Price ($)]]&gt;=500,"High Price","Standard Price")</f>
        <v>High Price</v>
      </c>
      <c r="H12" s="3" t="str">
        <f>LEFT(Product_details[[#This Row],[Product ID]],2)</f>
        <v>17</v>
      </c>
      <c r="I12" s="3" t="str">
        <f>RIGHT(Product_details[[#This Row],[Product ID]],2)</f>
        <v>IN</v>
      </c>
      <c r="J12" s="3" t="str">
        <f>MID(Product_details[[#This Row],[Product ID]],4,3)</f>
        <v>JUN</v>
      </c>
    </row>
    <row r="13" spans="1:10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4" t="str">
        <f>IF(Product_details[[#This Row],[Price ($)]]&gt;=500,"High Price","Standard Price")</f>
        <v>Standard Price</v>
      </c>
      <c r="H13" s="3" t="str">
        <f>LEFT(Product_details[[#This Row],[Product ID]],2)</f>
        <v>25</v>
      </c>
      <c r="I13" s="3" t="str">
        <f>RIGHT(Product_details[[#This Row],[Product ID]],2)</f>
        <v>AU</v>
      </c>
      <c r="J13" s="3" t="str">
        <f>MID(Product_details[[#This Row],[Product ID]],4,3)</f>
        <v>NOV</v>
      </c>
    </row>
    <row r="14" spans="1:10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4" t="str">
        <f>IF(Product_details[[#This Row],[Price ($)]]&gt;=500,"High Price","Standard Price")</f>
        <v>Standard Price</v>
      </c>
      <c r="H14" s="3" t="str">
        <f>LEFT(Product_details[[#This Row],[Product ID]],2)</f>
        <v>08</v>
      </c>
      <c r="I14" s="3" t="str">
        <f>RIGHT(Product_details[[#This Row],[Product ID]],2)</f>
        <v>DE</v>
      </c>
      <c r="J14" s="3" t="str">
        <f>MID(Product_details[[#This Row],[Product ID]],4,3)</f>
        <v>DEC</v>
      </c>
    </row>
    <row r="15" spans="1:10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4" t="str">
        <f>IF(Product_details[[#This Row],[Price ($)]]&gt;=500,"High Price","Standard Price")</f>
        <v>Standard Price</v>
      </c>
      <c r="H15" s="3" t="str">
        <f>LEFT(Product_details[[#This Row],[Product ID]],2)</f>
        <v>18</v>
      </c>
      <c r="I15" s="3" t="str">
        <f>RIGHT(Product_details[[#This Row],[Product ID]],2)</f>
        <v>CA</v>
      </c>
      <c r="J15" s="3" t="str">
        <f>MID(Product_details[[#This Row],[Product ID]],4,3)</f>
        <v>FEB</v>
      </c>
    </row>
    <row r="16" spans="1:10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4" t="str">
        <f>IF(Product_details[[#This Row],[Price ($)]]&gt;=500,"High Price","Standard Price")</f>
        <v>Standard Price</v>
      </c>
      <c r="H16" s="3" t="str">
        <f>LEFT(Product_details[[#This Row],[Product ID]],2)</f>
        <v>16</v>
      </c>
      <c r="I16" s="3" t="str">
        <f>RIGHT(Product_details[[#This Row],[Product ID]],2)</f>
        <v>ES</v>
      </c>
      <c r="J16" s="3" t="str">
        <f>MID(Product_details[[#This Row],[Product ID]],4,3)</f>
        <v>APR</v>
      </c>
    </row>
    <row r="17" spans="1:10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4" t="str">
        <f>IF(Product_details[[#This Row],[Price ($)]]&gt;=500,"High Price","Standard Price")</f>
        <v>Standard Price</v>
      </c>
      <c r="H17" s="3" t="str">
        <f>LEFT(Product_details[[#This Row],[Product ID]],2)</f>
        <v>21</v>
      </c>
      <c r="I17" s="3" t="str">
        <f>RIGHT(Product_details[[#This Row],[Product ID]],2)</f>
        <v>CA</v>
      </c>
      <c r="J17" s="3" t="str">
        <f>MID(Product_details[[#This Row],[Product ID]],4,3)</f>
        <v>AUG</v>
      </c>
    </row>
    <row r="18" spans="1:10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4" t="str">
        <f>IF(Product_details[[#This Row],[Price ($)]]&gt;=500,"High Price","Standard Price")</f>
        <v>Standard Price</v>
      </c>
      <c r="H18" s="3" t="str">
        <f>LEFT(Product_details[[#This Row],[Product ID]],2)</f>
        <v>20</v>
      </c>
      <c r="I18" s="3" t="str">
        <f>RIGHT(Product_details[[#This Row],[Product ID]],2)</f>
        <v>CN</v>
      </c>
      <c r="J18" s="3" t="str">
        <f>MID(Product_details[[#This Row],[Product ID]],4,3)</f>
        <v>AUG</v>
      </c>
    </row>
    <row r="19" spans="1:10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4" t="str">
        <f>IF(Product_details[[#This Row],[Price ($)]]&gt;=500,"High Price","Standard Price")</f>
        <v>High Price</v>
      </c>
      <c r="H19" s="3" t="str">
        <f>LEFT(Product_details[[#This Row],[Product ID]],2)</f>
        <v>27</v>
      </c>
      <c r="I19" s="3" t="str">
        <f>RIGHT(Product_details[[#This Row],[Product ID]],2)</f>
        <v>IT</v>
      </c>
      <c r="J19" s="3" t="str">
        <f>MID(Product_details[[#This Row],[Product ID]],4,3)</f>
        <v>JAN</v>
      </c>
    </row>
    <row r="20" spans="1:10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4" t="str">
        <f>IF(Product_details[[#This Row],[Price ($)]]&gt;=500,"High Price","Standard Price")</f>
        <v>Standard Price</v>
      </c>
      <c r="H20" s="3" t="str">
        <f>LEFT(Product_details[[#This Row],[Product ID]],2)</f>
        <v>01</v>
      </c>
      <c r="I20" s="3" t="str">
        <f>RIGHT(Product_details[[#This Row],[Product ID]],2)</f>
        <v>UK</v>
      </c>
      <c r="J20" s="3" t="str">
        <f>MID(Product_details[[#This Row],[Product ID]],4,3)</f>
        <v>MAR</v>
      </c>
    </row>
    <row r="21" spans="1:10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4" t="str">
        <f>IF(Product_details[[#This Row],[Price ($)]]&gt;=500,"High Price","Standard Price")</f>
        <v>Standard Price</v>
      </c>
      <c r="H21" s="3" t="str">
        <f>LEFT(Product_details[[#This Row],[Product ID]],2)</f>
        <v>14</v>
      </c>
      <c r="I21" s="3" t="str">
        <f>RIGHT(Product_details[[#This Row],[Product ID]],2)</f>
        <v>US</v>
      </c>
      <c r="J21" s="3" t="str">
        <f>MID(Product_details[[#This Row],[Product ID]],4,3)</f>
        <v>AUG</v>
      </c>
    </row>
    <row r="22" spans="1:10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4" t="str">
        <f>IF(Product_details[[#This Row],[Price ($)]]&gt;=500,"High Price","Standard Price")</f>
        <v>High Price</v>
      </c>
      <c r="H22" s="3" t="str">
        <f>LEFT(Product_details[[#This Row],[Product ID]],2)</f>
        <v>14</v>
      </c>
      <c r="I22" s="3" t="str">
        <f>RIGHT(Product_details[[#This Row],[Product ID]],2)</f>
        <v>RU</v>
      </c>
      <c r="J22" s="3" t="str">
        <f>MID(Product_details[[#This Row],[Product ID]],4,3)</f>
        <v>MAY</v>
      </c>
    </row>
    <row r="23" spans="1:10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4" t="str">
        <f>IF(Product_details[[#This Row],[Price ($)]]&gt;=500,"High Price","Standard Price")</f>
        <v>Standard Price</v>
      </c>
      <c r="H23" s="3" t="str">
        <f>LEFT(Product_details[[#This Row],[Product ID]],2)</f>
        <v>09</v>
      </c>
      <c r="I23" s="3" t="str">
        <f>RIGHT(Product_details[[#This Row],[Product ID]],2)</f>
        <v>CA</v>
      </c>
      <c r="J23" s="3" t="str">
        <f>MID(Product_details[[#This Row],[Product ID]],4,3)</f>
        <v>JAN</v>
      </c>
    </row>
    <row r="24" spans="1:10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4" t="str">
        <f>IF(Product_details[[#This Row],[Price ($)]]&gt;=500,"High Price","Standard Price")</f>
        <v>Standard Price</v>
      </c>
      <c r="H24" s="3" t="str">
        <f>LEFT(Product_details[[#This Row],[Product ID]],2)</f>
        <v>19</v>
      </c>
      <c r="I24" s="3" t="str">
        <f>RIGHT(Product_details[[#This Row],[Product ID]],2)</f>
        <v>BR</v>
      </c>
      <c r="J24" s="3" t="str">
        <f>MID(Product_details[[#This Row],[Product ID]],4,3)</f>
        <v>JUL</v>
      </c>
    </row>
    <row r="25" spans="1:10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4" t="str">
        <f>IF(Product_details[[#This Row],[Price ($)]]&gt;=500,"High Price","Standard Price")</f>
        <v>Standard Price</v>
      </c>
      <c r="H25" s="3" t="str">
        <f>LEFT(Product_details[[#This Row],[Product ID]],2)</f>
        <v>21</v>
      </c>
      <c r="I25" s="3" t="str">
        <f>RIGHT(Product_details[[#This Row],[Product ID]],2)</f>
        <v>CA</v>
      </c>
      <c r="J25" s="3" t="str">
        <f>MID(Product_details[[#This Row],[Product ID]],4,3)</f>
        <v>AUG</v>
      </c>
    </row>
    <row r="26" spans="1:10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4" t="str">
        <f>IF(Product_details[[#This Row],[Price ($)]]&gt;=500,"High Price","Standard Price")</f>
        <v>High Price</v>
      </c>
      <c r="H26" s="3" t="str">
        <f>LEFT(Product_details[[#This Row],[Product ID]],2)</f>
        <v>29</v>
      </c>
      <c r="I26" s="3" t="str">
        <f>RIGHT(Product_details[[#This Row],[Product ID]],2)</f>
        <v>CA</v>
      </c>
      <c r="J26" s="3" t="str">
        <f>MID(Product_details[[#This Row],[Product ID]],4,3)</f>
        <v>SEP</v>
      </c>
    </row>
    <row r="27" spans="1:10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4" t="str">
        <f>IF(Product_details[[#This Row],[Price ($)]]&gt;=500,"High Price","Standard Price")</f>
        <v>Standard Price</v>
      </c>
      <c r="H27" s="3" t="str">
        <f>LEFT(Product_details[[#This Row],[Product ID]],2)</f>
        <v>03</v>
      </c>
      <c r="I27" s="3" t="str">
        <f>RIGHT(Product_details[[#This Row],[Product ID]],2)</f>
        <v>CA</v>
      </c>
      <c r="J27" s="3" t="str">
        <f>MID(Product_details[[#This Row],[Product ID]],4,3)</f>
        <v>JUN</v>
      </c>
    </row>
    <row r="28" spans="1:10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4" t="str">
        <f>IF(Product_details[[#This Row],[Price ($)]]&gt;=500,"High Price","Standard Price")</f>
        <v>Standard Price</v>
      </c>
      <c r="H28" s="3" t="str">
        <f>LEFT(Product_details[[#This Row],[Product ID]],2)</f>
        <v>11</v>
      </c>
      <c r="I28" s="3" t="str">
        <f>RIGHT(Product_details[[#This Row],[Product ID]],2)</f>
        <v>CA</v>
      </c>
      <c r="J28" s="3" t="str">
        <f>MID(Product_details[[#This Row],[Product ID]],4,3)</f>
        <v>JUL</v>
      </c>
    </row>
    <row r="29" spans="1:10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4" t="str">
        <f>IF(Product_details[[#This Row],[Price ($)]]&gt;=500,"High Price","Standard Price")</f>
        <v>Standard Price</v>
      </c>
      <c r="H29" s="3" t="str">
        <f>LEFT(Product_details[[#This Row],[Product ID]],2)</f>
        <v>16</v>
      </c>
      <c r="I29" s="3" t="str">
        <f>RIGHT(Product_details[[#This Row],[Product ID]],2)</f>
        <v>ES</v>
      </c>
      <c r="J29" s="3" t="str">
        <f>MID(Product_details[[#This Row],[Product ID]],4,3)</f>
        <v>APR</v>
      </c>
    </row>
    <row r="30" spans="1:10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4" t="str">
        <f>IF(Product_details[[#This Row],[Price ($)]]&gt;=500,"High Price","Standard Price")</f>
        <v>Standard Price</v>
      </c>
      <c r="H30" s="3" t="str">
        <f>LEFT(Product_details[[#This Row],[Product ID]],2)</f>
        <v>07</v>
      </c>
      <c r="I30" s="3" t="str">
        <f>RIGHT(Product_details[[#This Row],[Product ID]],2)</f>
        <v>CA</v>
      </c>
      <c r="J30" s="3" t="str">
        <f>MID(Product_details[[#This Row],[Product ID]],4,3)</f>
        <v>MAR</v>
      </c>
    </row>
    <row r="31" spans="1:10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4" t="str">
        <f>IF(Product_details[[#This Row],[Price ($)]]&gt;=500,"High Price","Standard Price")</f>
        <v>Standard Price</v>
      </c>
      <c r="H31" s="3" t="str">
        <f>LEFT(Product_details[[#This Row],[Product ID]],2)</f>
        <v>13</v>
      </c>
      <c r="I31" s="3" t="str">
        <f>RIGHT(Product_details[[#This Row],[Product ID]],2)</f>
        <v>CA</v>
      </c>
      <c r="J31" s="3" t="str">
        <f>MID(Product_details[[#This Row],[Product ID]],4,3)</f>
        <v>APR</v>
      </c>
    </row>
    <row r="32" spans="1:10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4" t="str">
        <f>IF(Product_details[[#This Row],[Price ($)]]&gt;=500,"High Price","Standard Price")</f>
        <v>Standard Price</v>
      </c>
      <c r="H32" s="3" t="str">
        <f>LEFT(Product_details[[#This Row],[Product ID]],2)</f>
        <v>24</v>
      </c>
      <c r="I32" s="3" t="str">
        <f>RIGHT(Product_details[[#This Row],[Product ID]],2)</f>
        <v>CA</v>
      </c>
      <c r="J32" s="3" t="str">
        <f>MID(Product_details[[#This Row],[Product ID]],4,3)</f>
        <v>MAY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4" t="str">
        <f>IF(Product_details[[#This Row],[Price ($)]]&gt;=500,"High Price","Standard Price")</f>
        <v>Standard Price</v>
      </c>
      <c r="H33" s="3" t="str">
        <f>LEFT(Product_details[[#This Row],[Product ID]],2)</f>
        <v>02</v>
      </c>
      <c r="I33" s="3" t="str">
        <f>RIGHT(Product_details[[#This Row],[Product ID]],2)</f>
        <v>CA</v>
      </c>
      <c r="J33" s="3" t="str">
        <f>MID(Product_details[[#This Row],[Product ID]],4,3)</f>
        <v>DEC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4" t="str">
        <f>IF(Product_details[[#This Row],[Price ($)]]&gt;=500,"High Price","Standard Price")</f>
        <v>High Price</v>
      </c>
      <c r="H34" s="3" t="str">
        <f>LEFT(Product_details[[#This Row],[Product ID]],2)</f>
        <v>17</v>
      </c>
      <c r="I34" s="3" t="str">
        <f>RIGHT(Product_details[[#This Row],[Product ID]],2)</f>
        <v>IN</v>
      </c>
      <c r="J34" s="3" t="str">
        <f>MID(Product_details[[#This Row],[Product ID]],4,3)</f>
        <v>JUN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4" t="str">
        <f>IF(Product_details[[#This Row],[Price ($)]]&gt;=500,"High Price","Standard Price")</f>
        <v>Standard Price</v>
      </c>
      <c r="H35" s="3" t="str">
        <f>LEFT(Product_details[[#This Row],[Product ID]],2)</f>
        <v>09</v>
      </c>
      <c r="I35" s="3" t="str">
        <f>RIGHT(Product_details[[#This Row],[Product ID]],2)</f>
        <v>FR</v>
      </c>
      <c r="J35" s="3" t="str">
        <f>MID(Product_details[[#This Row],[Product ID]],4,3)</f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AD21-3446-4833-90EA-EBA451EBB10E}">
  <dimension ref="A3:H30"/>
  <sheetViews>
    <sheetView topLeftCell="A11" workbookViewId="0">
      <selection activeCell="C31" sqref="C31"/>
    </sheetView>
  </sheetViews>
  <sheetFormatPr defaultRowHeight="12.5" x14ac:dyDescent="0.25"/>
  <cols>
    <col min="2" max="2" width="12.26953125" style="9" customWidth="1"/>
    <col min="3" max="3" width="37.08984375" style="9" customWidth="1"/>
    <col min="4" max="6" width="8.7265625" style="9"/>
    <col min="7" max="7" width="12.81640625" style="9" customWidth="1"/>
    <col min="8" max="8" width="34.6328125" style="9" customWidth="1"/>
  </cols>
  <sheetData>
    <row r="3" spans="1:8" ht="13" x14ac:dyDescent="0.3">
      <c r="B3" s="8" t="s">
        <v>94</v>
      </c>
      <c r="C3" s="8" t="s">
        <v>93</v>
      </c>
      <c r="G3" s="10" t="s">
        <v>99</v>
      </c>
      <c r="H3" s="10" t="s">
        <v>100</v>
      </c>
    </row>
    <row r="6" spans="1:8" x14ac:dyDescent="0.25">
      <c r="A6">
        <v>1</v>
      </c>
      <c r="B6" s="11" t="s">
        <v>95</v>
      </c>
      <c r="F6" s="9">
        <v>1</v>
      </c>
      <c r="G6" s="11" t="s">
        <v>101</v>
      </c>
    </row>
    <row r="8" spans="1:8" ht="13" x14ac:dyDescent="0.3">
      <c r="B8" s="17" t="s">
        <v>96</v>
      </c>
      <c r="C8" s="12">
        <f>SUM(Product_details[Price ($)])</f>
        <v>10100</v>
      </c>
      <c r="G8" s="17" t="s">
        <v>96</v>
      </c>
      <c r="H8" s="12">
        <f>MIN(Product_details[Price ($)])</f>
        <v>30</v>
      </c>
    </row>
    <row r="10" spans="1:8" x14ac:dyDescent="0.25">
      <c r="A10">
        <v>2</v>
      </c>
      <c r="B10" s="11" t="s">
        <v>97</v>
      </c>
    </row>
    <row r="11" spans="1:8" x14ac:dyDescent="0.25">
      <c r="F11" s="9">
        <v>2</v>
      </c>
      <c r="G11" s="9" t="s">
        <v>102</v>
      </c>
    </row>
    <row r="12" spans="1:8" ht="13" x14ac:dyDescent="0.3">
      <c r="B12" s="17" t="s">
        <v>96</v>
      </c>
      <c r="C12" s="12">
        <f>COUNTA(Product_details[Product Name])</f>
        <v>34</v>
      </c>
    </row>
    <row r="13" spans="1:8" ht="13" x14ac:dyDescent="0.3">
      <c r="B13" s="11"/>
      <c r="C13" s="11"/>
      <c r="G13" s="17" t="s">
        <v>96</v>
      </c>
      <c r="H13" s="12">
        <f>MAX(Product_details[Price ($)])</f>
        <v>1000</v>
      </c>
    </row>
    <row r="14" spans="1:8" x14ac:dyDescent="0.25">
      <c r="A14">
        <v>3</v>
      </c>
      <c r="B14" s="11" t="s">
        <v>98</v>
      </c>
    </row>
    <row r="16" spans="1:8" ht="13" x14ac:dyDescent="0.3">
      <c r="B16" s="17" t="s">
        <v>96</v>
      </c>
      <c r="C16" s="12">
        <f>AVERAGE(Product_details[Price ($)])</f>
        <v>297.05882352941177</v>
      </c>
    </row>
    <row r="18" spans="2:8" ht="13" x14ac:dyDescent="0.3">
      <c r="D18" s="16"/>
    </row>
    <row r="21" spans="2:8" ht="13" x14ac:dyDescent="0.3">
      <c r="B21" s="13" t="s">
        <v>104</v>
      </c>
      <c r="C21" s="14" t="s">
        <v>105</v>
      </c>
      <c r="D21" s="15"/>
      <c r="E21"/>
      <c r="F21"/>
      <c r="G21"/>
      <c r="H21"/>
    </row>
    <row r="22" spans="2:8" x14ac:dyDescent="0.25">
      <c r="E22"/>
      <c r="F22"/>
      <c r="G22"/>
      <c r="H22"/>
    </row>
    <row r="23" spans="2:8" x14ac:dyDescent="0.25">
      <c r="B23" s="9">
        <v>1</v>
      </c>
      <c r="C23" s="11" t="s">
        <v>106</v>
      </c>
      <c r="E23"/>
      <c r="F23"/>
      <c r="G23"/>
      <c r="H23"/>
    </row>
    <row r="24" spans="2:8" x14ac:dyDescent="0.25">
      <c r="E24"/>
      <c r="F24"/>
      <c r="G24"/>
      <c r="H24"/>
    </row>
    <row r="25" spans="2:8" ht="13" x14ac:dyDescent="0.3">
      <c r="C25" s="17" t="s">
        <v>96</v>
      </c>
      <c r="D25" s="12">
        <f>SUMIF(Product_details[Category],"Electronics",Product_details[Price ($)])</f>
        <v>8050</v>
      </c>
      <c r="E25"/>
      <c r="F25"/>
      <c r="G25"/>
      <c r="H25"/>
    </row>
    <row r="26" spans="2:8" x14ac:dyDescent="0.25">
      <c r="E26"/>
      <c r="F26"/>
      <c r="G26"/>
      <c r="H26"/>
    </row>
    <row r="27" spans="2:8" x14ac:dyDescent="0.25">
      <c r="B27" s="9">
        <v>2</v>
      </c>
      <c r="C27" s="11" t="s">
        <v>107</v>
      </c>
      <c r="E27"/>
      <c r="F27"/>
      <c r="G27"/>
      <c r="H27"/>
    </row>
    <row r="28" spans="2:8" x14ac:dyDescent="0.25">
      <c r="E28"/>
      <c r="F28"/>
      <c r="G28"/>
      <c r="H28"/>
    </row>
    <row r="29" spans="2:8" ht="13" x14ac:dyDescent="0.3">
      <c r="C29" s="17" t="s">
        <v>96</v>
      </c>
      <c r="D29" s="12">
        <f>COUNTIF(Product_details[Price ($)],"&lt;100")</f>
        <v>11</v>
      </c>
      <c r="E29"/>
      <c r="F29"/>
      <c r="G29"/>
      <c r="H29"/>
    </row>
    <row r="30" spans="2:8" x14ac:dyDescent="0.25">
      <c r="E30"/>
      <c r="F30"/>
      <c r="G30"/>
      <c r="H3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AC6BD4-AF04-4FEB-9ED5-F91642CA7C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2026-06-06T01:30:27Z</dcterms:modified>
</cp:coreProperties>
</file>